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E:\Excel\files\"/>
    </mc:Choice>
  </mc:AlternateContent>
  <xr:revisionPtr revIDLastSave="0" documentId="13_ncr:1_{E0E97D7E-4BB9-4DF7-A285-644B87DA9A9D}" xr6:coauthVersionLast="47" xr6:coauthVersionMax="47" xr10:uidLastSave="{00000000-0000-0000-0000-000000000000}"/>
  <bookViews>
    <workbookView xWindow="-120" yWindow="-120" windowWidth="29040" windowHeight="15990" activeTab="2" xr2:uid="{00000000-000D-0000-FFFF-FFFF00000000}"/>
  </bookViews>
  <sheets>
    <sheet name="Sales_Data" sheetId="1" r:id="rId1"/>
    <sheet name="Customer_Data" sheetId="2" r:id="rId2"/>
    <sheet name="Analysis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3" l="1" a="1"/>
  <c r="F32" i="3" s="1"/>
  <c r="E33" i="3"/>
  <c r="F33" i="3"/>
  <c r="E34" i="3"/>
  <c r="F34" i="3"/>
  <c r="W8" i="3"/>
  <c r="W9" i="3"/>
  <c r="Q24" i="3" a="1"/>
  <c r="Q24" i="3" s="1"/>
  <c r="Q19" i="3"/>
  <c r="Q20" i="3"/>
  <c r="Q21" i="3"/>
  <c r="Q22" i="3"/>
  <c r="Q23" i="3" a="1"/>
  <c r="Q23" i="3" s="1"/>
  <c r="I23" i="3"/>
  <c r="I8" i="3"/>
  <c r="I15" i="3"/>
  <c r="I25" i="3"/>
  <c r="I2" i="3"/>
  <c r="I10" i="3"/>
  <c r="I21" i="3"/>
  <c r="I5" i="3"/>
  <c r="I19" i="3"/>
  <c r="I12" i="3"/>
  <c r="I24" i="3"/>
  <c r="I13" i="3"/>
  <c r="I4" i="3"/>
  <c r="I16" i="3"/>
  <c r="I7" i="3"/>
  <c r="I18" i="3"/>
  <c r="I22" i="3"/>
  <c r="I6" i="3"/>
  <c r="I14" i="3"/>
  <c r="I9" i="3"/>
  <c r="I26" i="3"/>
  <c r="I3" i="3"/>
  <c r="I11" i="3"/>
  <c r="I17" i="3"/>
  <c r="I20" i="3"/>
  <c r="H23" i="3"/>
  <c r="H8" i="3"/>
  <c r="H15" i="3"/>
  <c r="H25" i="3"/>
  <c r="H2" i="3"/>
  <c r="H10" i="3"/>
  <c r="H21" i="3"/>
  <c r="H5" i="3"/>
  <c r="H19" i="3"/>
  <c r="H12" i="3"/>
  <c r="H24" i="3"/>
  <c r="H13" i="3"/>
  <c r="H4" i="3"/>
  <c r="H16" i="3"/>
  <c r="H7" i="3"/>
  <c r="H18" i="3"/>
  <c r="H22" i="3"/>
  <c r="H6" i="3"/>
  <c r="H14" i="3"/>
  <c r="H9" i="3"/>
  <c r="H26" i="3"/>
  <c r="H3" i="3"/>
  <c r="H11" i="3"/>
  <c r="H17" i="3"/>
  <c r="H20" i="3"/>
  <c r="G23" i="3"/>
  <c r="G8" i="3"/>
  <c r="G15" i="3"/>
  <c r="G25" i="3"/>
  <c r="G2" i="3"/>
  <c r="E31" i="3" s="1"/>
  <c r="G10" i="3"/>
  <c r="G21" i="3"/>
  <c r="G5" i="3"/>
  <c r="G19" i="3"/>
  <c r="G12" i="3"/>
  <c r="G24" i="3"/>
  <c r="G13" i="3"/>
  <c r="G4" i="3"/>
  <c r="G16" i="3"/>
  <c r="G7" i="3"/>
  <c r="G18" i="3"/>
  <c r="G22" i="3"/>
  <c r="G6" i="3"/>
  <c r="G14" i="3"/>
  <c r="G9" i="3"/>
  <c r="G26" i="3"/>
  <c r="G3" i="3"/>
  <c r="G11" i="3"/>
  <c r="G17" i="3"/>
  <c r="G20" i="3"/>
  <c r="F35" i="3" l="1"/>
  <c r="F31" i="3" a="1"/>
  <c r="F3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<sst xmlns="http://schemas.openxmlformats.org/spreadsheetml/2006/main" count="359" uniqueCount="128">
  <si>
    <t>Transaction_ID</t>
  </si>
  <si>
    <t>Customer_ID</t>
  </si>
  <si>
    <t>Product_Category</t>
  </si>
  <si>
    <t>Sale_Amount</t>
  </si>
  <si>
    <t>Transaction_Date</t>
  </si>
  <si>
    <t>Payment_Method</t>
  </si>
  <si>
    <t>TXN001</t>
  </si>
  <si>
    <t>CUST101</t>
  </si>
  <si>
    <t>Electronics</t>
  </si>
  <si>
    <t>2024-01-05</t>
  </si>
  <si>
    <t>Credit Card</t>
  </si>
  <si>
    <t>TXN002</t>
  </si>
  <si>
    <t>CUST102</t>
  </si>
  <si>
    <t>Clothing</t>
  </si>
  <si>
    <t>2024-01-06</t>
  </si>
  <si>
    <t>Debit Card</t>
  </si>
  <si>
    <t>TXN003</t>
  </si>
  <si>
    <t>CUST103</t>
  </si>
  <si>
    <t>Home &amp; Garden</t>
  </si>
  <si>
    <t>2024-01-07</t>
  </si>
  <si>
    <t>UPI</t>
  </si>
  <si>
    <t>TXN004</t>
  </si>
  <si>
    <t>CUST104</t>
  </si>
  <si>
    <t>2024-01-08</t>
  </si>
  <si>
    <t>TXN005</t>
  </si>
  <si>
    <t>CUST105</t>
  </si>
  <si>
    <t>Books</t>
  </si>
  <si>
    <t>2024-01-09</t>
  </si>
  <si>
    <t>TXN006</t>
  </si>
  <si>
    <t>2024-01-10</t>
  </si>
  <si>
    <t>TXN007</t>
  </si>
  <si>
    <t>2024-01-11</t>
  </si>
  <si>
    <t>TXN008</t>
  </si>
  <si>
    <t>2024-01-12</t>
  </si>
  <si>
    <t>TXN009</t>
  </si>
  <si>
    <t>CUST106</t>
  </si>
  <si>
    <t>2024-01-13</t>
  </si>
  <si>
    <t>TXN010</t>
  </si>
  <si>
    <t>2024-01-14</t>
  </si>
  <si>
    <t>TXN011</t>
  </si>
  <si>
    <t>CUST107</t>
  </si>
  <si>
    <t>2024-01-15</t>
  </si>
  <si>
    <t>TXN012</t>
  </si>
  <si>
    <t>2024-01-16</t>
  </si>
  <si>
    <t>TXN013</t>
  </si>
  <si>
    <t>CUST108</t>
  </si>
  <si>
    <t>2024-01-17</t>
  </si>
  <si>
    <t>TXN014</t>
  </si>
  <si>
    <t>2024-01-18</t>
  </si>
  <si>
    <t>TXN015</t>
  </si>
  <si>
    <t>CUST109</t>
  </si>
  <si>
    <t>2024-01-19</t>
  </si>
  <si>
    <t>TXN016</t>
  </si>
  <si>
    <t>2024-01-20</t>
  </si>
  <si>
    <t>TXN017</t>
  </si>
  <si>
    <t>2024-01-21</t>
  </si>
  <si>
    <t>TXN018</t>
  </si>
  <si>
    <t>CUST110</t>
  </si>
  <si>
    <t>2024-01-22</t>
  </si>
  <si>
    <t>TXN019</t>
  </si>
  <si>
    <t>2024-01-23</t>
  </si>
  <si>
    <t>TXN020</t>
  </si>
  <si>
    <t>2024-01-24</t>
  </si>
  <si>
    <t>TXN021</t>
  </si>
  <si>
    <t>CUST111</t>
  </si>
  <si>
    <t>2024-01-25</t>
  </si>
  <si>
    <t>TXN022</t>
  </si>
  <si>
    <t>2024-01-26</t>
  </si>
  <si>
    <t>TXN023</t>
  </si>
  <si>
    <t>2024-01-27</t>
  </si>
  <si>
    <t>TXN024</t>
  </si>
  <si>
    <t>2024-01-28</t>
  </si>
  <si>
    <t>TXN025</t>
  </si>
  <si>
    <t>2024-01-29</t>
  </si>
  <si>
    <t>Customer_Name</t>
  </si>
  <si>
    <t>City</t>
  </si>
  <si>
    <t>Registration_Date</t>
  </si>
  <si>
    <t>Customer_Tier</t>
  </si>
  <si>
    <t>Ali Khan</t>
  </si>
  <si>
    <t>Karachi</t>
  </si>
  <si>
    <t>2023-06-15</t>
  </si>
  <si>
    <t>Premium</t>
  </si>
  <si>
    <t>Sara Ahmed</t>
  </si>
  <si>
    <t>Lahore</t>
  </si>
  <si>
    <t>2023-07-20</t>
  </si>
  <si>
    <t>Standard</t>
  </si>
  <si>
    <t>Hassan Ali</t>
  </si>
  <si>
    <t>Islamabad</t>
  </si>
  <si>
    <t>2023-08-10</t>
  </si>
  <si>
    <t>Fatima Malik</t>
  </si>
  <si>
    <t>2023-09-05</t>
  </si>
  <si>
    <t>Ahmed Hassan</t>
  </si>
  <si>
    <t>2023-10-12</t>
  </si>
  <si>
    <t>Zainab Khan</t>
  </si>
  <si>
    <t>Peshawar</t>
  </si>
  <si>
    <t>2023-11-01</t>
  </si>
  <si>
    <t>Muhammad Aziz</t>
  </si>
  <si>
    <t>2023-12-03</t>
  </si>
  <si>
    <t>Hira Ahmed</t>
  </si>
  <si>
    <t>Rawalpindi</t>
  </si>
  <si>
    <t>Bilal Khan</t>
  </si>
  <si>
    <t>Nida Malik</t>
  </si>
  <si>
    <t>Rashid Ali</t>
  </si>
  <si>
    <t>Customer Name</t>
  </si>
  <si>
    <t>Column1</t>
  </si>
  <si>
    <t>Summary</t>
  </si>
  <si>
    <t>Total Sales Revenue</t>
  </si>
  <si>
    <t>Average Transaction Value</t>
  </si>
  <si>
    <t>Highest Sale Amount</t>
  </si>
  <si>
    <t>Lowest Sale Amount</t>
  </si>
  <si>
    <t>Total Transactions</t>
  </si>
  <si>
    <t>Unique Customers</t>
  </si>
  <si>
    <t>Column2</t>
  </si>
  <si>
    <t>Grand Total</t>
  </si>
  <si>
    <t>Total Sales</t>
  </si>
  <si>
    <t>DATA Quality Check</t>
  </si>
  <si>
    <t>Missing Values:</t>
  </si>
  <si>
    <t>Duplicates Transactions:</t>
  </si>
  <si>
    <t>Highest sale amount:</t>
  </si>
  <si>
    <t>Lowest sale amount:</t>
  </si>
  <si>
    <t>OVERALL DATA QUALITY ASSESSMENT</t>
  </si>
  <si>
    <t xml:space="preserve">This analysis covers 25 e-commerce transactions from 11 customers. </t>
  </si>
  <si>
    <t xml:space="preserve">Total revenue is $15,329.21, with Electronics category leading at 73.7% </t>
  </si>
  <si>
    <t xml:space="preserve">of sales. Standard tier customers generate 54.4% of revenue, but Premium </t>
  </si>
  <si>
    <t xml:space="preserve">customers show higher average transaction value. Recommendation: Focus on </t>
  </si>
  <si>
    <t>Premium tier conversion in Electronics category.</t>
  </si>
  <si>
    <t>Summary:</t>
  </si>
  <si>
    <t>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</si>
</sst>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Poppins"/>
    </font>
    <font>
      <b/>
      <sz val="18"/>
      <color theme="3"/>
      <name val="Poppins"/>
    </font>
    <font>
      <b/>
      <sz val="11"/>
      <color theme="1"/>
      <name val="Poppins"/>
    </font>
    <font>
      <b/>
      <sz val="12"/>
      <color theme="1"/>
      <name val="Poppins"/>
    </font>
    <font>
      <sz val="11"/>
      <color theme="1"/>
      <name val="Calibri"/>
      <family val="2"/>
      <scheme val="minor"/>
    </font>
    <font>
      <b/>
      <sz val="16"/>
      <color theme="1"/>
      <name val="Poppins"/>
    </font>
    <font>
      <sz val="16"/>
      <color theme="1"/>
      <name val="Poppins"/>
    </font>
    <font>
      <b/>
      <sz val="10"/>
      <color theme="1"/>
      <name val="Poppins"/>
    </font>
    <font>
      <b/>
      <sz val="14"/>
      <color theme="0"/>
      <name val="Poppins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4">
    <xf numFmtId="0" fontId="0" fillId="0" borderId="0" xfId="0"/>
    <xf numFmtId="44" fontId="1" fillId="0" borderId="0" xfId="1" applyFont="1"/>
    <xf numFmtId="44" fontId="1" fillId="0" borderId="0" xfId="1" pivotButton="1" applyFont="1"/>
    <xf numFmtId="44" fontId="1" fillId="0" borderId="0" xfId="1" applyFont="1" applyAlignment="1">
      <alignment horizontal="left"/>
    </xf>
    <xf numFmtId="44" fontId="2" fillId="2" borderId="2" xfId="1" applyFont="1" applyFill="1" applyBorder="1" applyAlignment="1">
      <alignment horizontal="center"/>
    </xf>
    <xf numFmtId="44" fontId="2" fillId="2" borderId="0" xfId="1" applyFont="1" applyFill="1" applyBorder="1" applyAlignment="1">
      <alignment horizontal="center"/>
    </xf>
    <xf numFmtId="44" fontId="3" fillId="0" borderId="0" xfId="1" applyFont="1" applyAlignment="1">
      <alignment horizontal="left"/>
    </xf>
    <xf numFmtId="44" fontId="4" fillId="0" borderId="0" xfId="1" applyFont="1" applyAlignment="1">
      <alignment horizontal="left"/>
    </xf>
    <xf numFmtId="44" fontId="4" fillId="0" borderId="0" xfId="1" applyFont="1" applyAlignment="1">
      <alignment horizontal="left"/>
    </xf>
    <xf numFmtId="44" fontId="6" fillId="0" borderId="0" xfId="1" applyFont="1"/>
    <xf numFmtId="44" fontId="7" fillId="0" borderId="0" xfId="1" applyFont="1"/>
    <xf numFmtId="44" fontId="7" fillId="0" borderId="0" xfId="1" applyFont="1" applyAlignment="1">
      <alignment vertical="center"/>
    </xf>
    <xf numFmtId="44" fontId="8" fillId="0" borderId="0" xfId="1" applyFont="1"/>
    <xf numFmtId="44" fontId="9" fillId="2" borderId="1" xfId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25">
    <dxf>
      <font>
        <b/>
        <strike val="0"/>
        <outline val="0"/>
        <shadow val="0"/>
        <u val="none"/>
        <vertAlign val="baseline"/>
        <sz val="10"/>
        <color theme="1"/>
        <name val="Poppins"/>
        <scheme val="none"/>
      </font>
    </dxf>
    <dxf>
      <font>
        <strike val="0"/>
        <outline val="0"/>
        <shadow val="0"/>
        <u val="none"/>
        <vertAlign val="baseline"/>
        <name val="Poppins"/>
        <scheme val="none"/>
      </font>
    </dxf>
    <dxf>
      <font>
        <strike val="0"/>
        <outline val="0"/>
        <shadow val="0"/>
        <u val="none"/>
        <vertAlign val="baseline"/>
        <name val="Poppins"/>
        <scheme val="none"/>
      </font>
    </dxf>
    <dxf>
      <font>
        <strike val="0"/>
        <outline val="0"/>
        <shadow val="0"/>
        <u val="none"/>
        <vertAlign val="baseline"/>
        <name val="Poppins"/>
        <scheme val="none"/>
      </font>
    </dxf>
    <dxf>
      <font>
        <strike val="0"/>
        <outline val="0"/>
        <shadow val="0"/>
        <u val="none"/>
        <vertAlign val="baseline"/>
        <name val="Poppins"/>
        <scheme val="none"/>
      </font>
    </dxf>
    <dxf>
      <font>
        <strike val="0"/>
        <outline val="0"/>
        <shadow val="0"/>
        <u val="none"/>
        <vertAlign val="baseline"/>
        <name val="Poppins"/>
        <scheme val="none"/>
      </font>
    </dxf>
    <dxf>
      <font>
        <strike val="0"/>
        <outline val="0"/>
        <shadow val="0"/>
        <u val="none"/>
        <vertAlign val="baseline"/>
        <name val="Poppins"/>
        <scheme val="none"/>
      </font>
    </dxf>
    <dxf>
      <font>
        <strike val="0"/>
        <outline val="0"/>
        <shadow val="0"/>
        <u val="none"/>
        <vertAlign val="baseline"/>
        <name val="Poppins"/>
        <scheme val="none"/>
      </font>
    </dxf>
    <dxf>
      <font>
        <strike val="0"/>
        <outline val="0"/>
        <shadow val="0"/>
        <u val="none"/>
        <vertAlign val="baseline"/>
        <name val="Poppins"/>
        <scheme val="none"/>
      </font>
    </dxf>
    <dxf>
      <font>
        <strike val="0"/>
        <outline val="0"/>
        <shadow val="0"/>
        <u val="none"/>
        <vertAlign val="baseline"/>
        <name val="Poppins"/>
        <scheme val="none"/>
      </font>
    </dxf>
    <dxf>
      <font>
        <strike val="0"/>
        <outline val="0"/>
        <shadow val="0"/>
        <u val="none"/>
        <vertAlign val="baseline"/>
        <name val="Poppins"/>
        <scheme val="none"/>
      </font>
    </dxf>
    <dxf>
      <font>
        <strike val="0"/>
        <outline val="0"/>
        <shadow val="0"/>
        <u val="none"/>
        <vertAlign val="baseline"/>
        <name val="Poppins"/>
        <scheme val="none"/>
      </font>
    </dxf>
    <dxf>
      <font>
        <strike val="0"/>
        <outline val="0"/>
        <shadow val="0"/>
        <u val="none"/>
        <vertAlign val="baseline"/>
        <name val="Poppins"/>
        <scheme val="none"/>
      </font>
    </dxf>
    <dxf>
      <font>
        <strike val="0"/>
        <outline val="0"/>
        <shadow val="0"/>
        <u val="none"/>
        <vertAlign val="baseline"/>
        <name val="Poppins"/>
        <scheme val="none"/>
      </font>
    </dxf>
    <dxf>
      <font>
        <strike val="0"/>
        <outline val="0"/>
        <shadow val="0"/>
        <u val="none"/>
        <vertAlign val="baseline"/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[Data_Scientist_Excel_Exam.xlsx]Analysis!PivotTable2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>
                <a:effectLst/>
              </a:rPr>
              <a:t>Sales Revenue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Analysis!$L$18:$L$19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Analysis!$K$20:$K$24</c:f>
              <c:strCache>
                <c:ptCount val="4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Home &amp; Garden</c:v>
                </c:pt>
              </c:strCache>
            </c:strRef>
          </c:cat>
          <c:val>
            <c:numRef>
              <c:f>Analysis!$L$20:$L$24</c:f>
              <c:numCache>
                <c:formatCode>_("$"* #,##0.00_);_("$"* \(#,##0.00\);_("$"* "-"??_);_(@_)</c:formatCode>
                <c:ptCount val="4"/>
                <c:pt idx="0">
                  <c:v>158.24</c:v>
                </c:pt>
                <c:pt idx="1">
                  <c:v>120</c:v>
                </c:pt>
                <c:pt idx="2">
                  <c:v>5500.5</c:v>
                </c:pt>
                <c:pt idx="3">
                  <c:v>1200.25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E7-4276-880E-8122AD4EB502}"/>
            </c:ext>
          </c:extLst>
        </c:ser>
        <c:ser>
          <c:idx val="1"/>
          <c:order val="1"/>
          <c:tx>
            <c:strRef>
              <c:f>Analysis!$M$18:$M$19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Analysis!$K$20:$K$24</c:f>
              <c:strCache>
                <c:ptCount val="4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Home &amp; Garden</c:v>
                </c:pt>
              </c:strCache>
            </c:strRef>
          </c:cat>
          <c:val>
            <c:numRef>
              <c:f>Analysis!$M$20:$M$24</c:f>
              <c:numCache>
                <c:formatCode>_("$"* #,##0.00_);_("$"* \(#,##0.00\);_("$"* "-"??_);_(@_)</c:formatCode>
                <c:ptCount val="4"/>
                <c:pt idx="0">
                  <c:v>79.75</c:v>
                </c:pt>
                <c:pt idx="1">
                  <c:v>601.23</c:v>
                </c:pt>
                <c:pt idx="2">
                  <c:v>5799.24</c:v>
                </c:pt>
                <c:pt idx="3">
                  <c:v>1870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E7-4276-880E-8122AD4EB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1621104"/>
        <c:axId val="1461607184"/>
      </c:barChart>
      <c:catAx>
        <c:axId val="1461621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607184"/>
        <c:crosses val="autoZero"/>
        <c:auto val="1"/>
        <c:lblAlgn val="ctr"/>
        <c:lblOffset val="100"/>
        <c:noMultiLvlLbl val="0"/>
      </c:catAx>
      <c:valAx>
        <c:axId val="146160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62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>
                <a:effectLst/>
              </a:rPr>
              <a:t>Sales Distribution by Customer 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Analysis!$W$7</c:f>
              <c:strCache>
                <c:ptCount val="1"/>
                <c:pt idx="0">
                  <c:v> Column2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A7-4DAB-B172-ECC54EB470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A7-4DAB-B172-ECC54EB470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Analysis!$V$8:$V$9</c:f>
              <c:strCache>
                <c:ptCount val="2"/>
                <c:pt idx="0">
                  <c:v> Premium </c:v>
                </c:pt>
                <c:pt idx="1">
                  <c:v> Standard </c:v>
                </c:pt>
              </c:strCache>
            </c:strRef>
          </c:cat>
          <c:val>
            <c:numRef>
              <c:f>Analysis!$W$8:$W$9</c:f>
              <c:numCache>
                <c:formatCode>_("$"* #,##0.00_);_("$"* \(#,##0.00\);_("$"* "-"??_);_(@_)</c:formatCode>
                <c:ptCount val="2"/>
                <c:pt idx="0">
                  <c:v>6978.99</c:v>
                </c:pt>
                <c:pt idx="1">
                  <c:v>8350.2199999999993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BA-4355-BED5-79846B507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0</xdr:row>
      <xdr:rowOff>14287</xdr:rowOff>
    </xdr:from>
    <xdr:to>
      <xdr:col>17</xdr:col>
      <xdr:colOff>259773</xdr:colOff>
      <xdr:row>14</xdr:row>
      <xdr:rowOff>259772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E3BDA81-168D-EA65-00BF-8E05CE8B44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367143</xdr:colOff>
      <xdr:row>0</xdr:row>
      <xdr:rowOff>0</xdr:rowOff>
    </xdr:from>
    <xdr:to>
      <xdr:col>26</xdr:col>
      <xdr:colOff>467589</xdr:colOff>
      <xdr:row>14</xdr:row>
      <xdr:rowOff>259772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1AEB477-CFC4-280F-F3E9-1BDEC240D7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Bazil" refreshedDate="46094.597267129633" createdVersion="8" refreshedVersion="8" minRefreshableVersion="3" recordCount="25" xr:uid="{7E4C3FB7-8A07-4936-B778-9FABE726A8AA}">
  <cacheSource type="worksheet">
    <worksheetSource name="Table1"/>
  </cacheSource>
  <cacheFields count="9">
    <cacheField name="Transaction_ID" numFmtId="0">
      <sharedItems count="25">
        <s v="TXN001"/>
        <s v="TXN002"/>
        <s v="TXN003"/>
        <s v="TXN004"/>
        <s v="TXN005"/>
        <s v="TXN006"/>
        <s v="TXN007"/>
        <s v="TXN008"/>
        <s v="TXN009"/>
        <s v="TXN010"/>
        <s v="TXN011"/>
        <s v="TXN012"/>
        <s v="TXN013"/>
        <s v="TXN014"/>
        <s v="TXN015"/>
        <s v="TXN016"/>
        <s v="TXN017"/>
        <s v="TXN018"/>
        <s v="TXN019"/>
        <s v="TXN020"/>
        <s v="TXN021"/>
        <s v="TXN022"/>
        <s v="TXN023"/>
        <s v="TXN024"/>
        <s v="TXN025"/>
      </sharedItems>
    </cacheField>
    <cacheField name="Customer_ID" numFmtId="0">
      <sharedItems count="11">
        <s v="CUST101"/>
        <s v="CUST102"/>
        <s v="CUST103"/>
        <s v="CUST104"/>
        <s v="CUST105"/>
        <s v="CUST106"/>
        <s v="CUST107"/>
        <s v="CUST108"/>
        <s v="CUST109"/>
        <s v="CUST110"/>
        <s v="CUST111"/>
      </sharedItems>
    </cacheField>
    <cacheField name="Product_Category" numFmtId="0">
      <sharedItems count="4">
        <s v="Electronics"/>
        <s v="Clothing"/>
        <s v="Home &amp; Garden"/>
        <s v="Books"/>
      </sharedItems>
    </cacheField>
    <cacheField name="Sale_Amount" numFmtId="0">
      <sharedItems containsSemiMixedTypes="0" containsString="0" containsNumber="1" minValue="34.5" maxValue="2500"/>
    </cacheField>
    <cacheField name="Transaction_Date" numFmtId="0">
      <sharedItems count="25">
        <s v="2024-01-05"/>
        <s v="2024-01-06"/>
        <s v="2024-01-07"/>
        <s v="2024-01-08"/>
        <s v="2024-01-09"/>
        <s v="2024-01-10"/>
        <s v="2024-01-11"/>
        <s v="2024-01-12"/>
        <s v="2024-01-13"/>
        <s v="2024-01-14"/>
        <s v="2024-01-15"/>
        <s v="2024-01-16"/>
        <s v="2024-01-17"/>
        <s v="2024-01-18"/>
        <s v="2024-01-19"/>
        <s v="2024-01-20"/>
        <s v="2024-01-21"/>
        <s v="2024-01-22"/>
        <s v="2024-01-23"/>
        <s v="2024-01-24"/>
        <s v="2024-01-25"/>
        <s v="2024-01-26"/>
        <s v="2024-01-27"/>
        <s v="2024-01-28"/>
        <s v="2024-01-29"/>
      </sharedItems>
    </cacheField>
    <cacheField name="Payment_Method" numFmtId="0">
      <sharedItems/>
    </cacheField>
    <cacheField name="Customer Name" numFmtId="0">
      <sharedItems count="11">
        <s v="Ali Khan"/>
        <s v="Sara Ahmed"/>
        <s v="Hassan Ali"/>
        <s v="Fatima Malik"/>
        <s v="Ahmed Hassan"/>
        <s v="Zainab Khan"/>
        <s v="Muhammad Aziz"/>
        <s v="Hira Ahmed"/>
        <s v="Bilal Khan"/>
        <s v="Nida Malik"/>
        <s v="Rashid Ali"/>
      </sharedItems>
    </cacheField>
    <cacheField name="City" numFmtId="0">
      <sharedItems/>
    </cacheField>
    <cacheField name="Customer_Tier" numFmtId="0">
      <sharedItems count="2">
        <s v="Premium"/>
        <s v="Standar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x v="0"/>
    <n v="1250.5"/>
    <x v="0"/>
    <s v="Credit Card"/>
    <x v="0"/>
    <s v="Karachi"/>
    <x v="0"/>
  </r>
  <r>
    <x v="1"/>
    <x v="1"/>
    <x v="1"/>
    <n v="89.99"/>
    <x v="1"/>
    <s v="Debit Card"/>
    <x v="1"/>
    <s v="Lahore"/>
    <x v="1"/>
  </r>
  <r>
    <x v="2"/>
    <x v="2"/>
    <x v="2"/>
    <n v="450"/>
    <x v="2"/>
    <s v="UPI"/>
    <x v="2"/>
    <s v="Islamabad"/>
    <x v="0"/>
  </r>
  <r>
    <x v="3"/>
    <x v="3"/>
    <x v="0"/>
    <n v="2100.75"/>
    <x v="3"/>
    <s v="Credit Card"/>
    <x v="3"/>
    <s v="Karachi"/>
    <x v="1"/>
  </r>
  <r>
    <x v="4"/>
    <x v="4"/>
    <x v="3"/>
    <n v="34.5"/>
    <x v="4"/>
    <s v="Debit Card"/>
    <x v="4"/>
    <s v="Lahore"/>
    <x v="1"/>
  </r>
  <r>
    <x v="5"/>
    <x v="0"/>
    <x v="1"/>
    <n v="120"/>
    <x v="5"/>
    <s v="Credit Card"/>
    <x v="0"/>
    <s v="Karachi"/>
    <x v="0"/>
  </r>
  <r>
    <x v="6"/>
    <x v="1"/>
    <x v="0"/>
    <n v="899.99"/>
    <x v="6"/>
    <s v="UPI"/>
    <x v="1"/>
    <s v="Lahore"/>
    <x v="1"/>
  </r>
  <r>
    <x v="7"/>
    <x v="2"/>
    <x v="3"/>
    <n v="56.75"/>
    <x v="7"/>
    <s v="Credit Card"/>
    <x v="2"/>
    <s v="Islamabad"/>
    <x v="0"/>
  </r>
  <r>
    <x v="8"/>
    <x v="5"/>
    <x v="2"/>
    <n v="750.25"/>
    <x v="8"/>
    <s v="Debit Card"/>
    <x v="5"/>
    <s v="Peshawar"/>
    <x v="0"/>
  </r>
  <r>
    <x v="9"/>
    <x v="3"/>
    <x v="1"/>
    <n v="199.99"/>
    <x v="9"/>
    <s v="Credit Card"/>
    <x v="3"/>
    <s v="Karachi"/>
    <x v="1"/>
  </r>
  <r>
    <x v="10"/>
    <x v="6"/>
    <x v="0"/>
    <n v="1899"/>
    <x v="10"/>
    <s v="UPI"/>
    <x v="6"/>
    <s v="Karachi"/>
    <x v="1"/>
  </r>
  <r>
    <x v="11"/>
    <x v="4"/>
    <x v="2"/>
    <n v="320"/>
    <x v="11"/>
    <s v="Credit Card"/>
    <x v="4"/>
    <s v="Lahore"/>
    <x v="1"/>
  </r>
  <r>
    <x v="12"/>
    <x v="7"/>
    <x v="3"/>
    <n v="45.25"/>
    <x v="12"/>
    <s v="Debit Card"/>
    <x v="7"/>
    <s v="Rawalpindi"/>
    <x v="1"/>
  </r>
  <r>
    <x v="13"/>
    <x v="0"/>
    <x v="0"/>
    <n v="550"/>
    <x v="13"/>
    <s v="Credit Card"/>
    <x v="0"/>
    <s v="Karachi"/>
    <x v="0"/>
  </r>
  <r>
    <x v="14"/>
    <x v="8"/>
    <x v="1"/>
    <n v="75.5"/>
    <x v="14"/>
    <s v="UPI"/>
    <x v="8"/>
    <s v="Lahore"/>
    <x v="1"/>
  </r>
  <r>
    <x v="15"/>
    <x v="1"/>
    <x v="2"/>
    <n v="600"/>
    <x v="15"/>
    <s v="Credit Card"/>
    <x v="1"/>
    <s v="Lahore"/>
    <x v="1"/>
  </r>
  <r>
    <x v="16"/>
    <x v="2"/>
    <x v="0"/>
    <n v="1200"/>
    <x v="16"/>
    <s v="Debit Card"/>
    <x v="2"/>
    <s v="Islamabad"/>
    <x v="0"/>
  </r>
  <r>
    <x v="17"/>
    <x v="9"/>
    <x v="3"/>
    <n v="62.99"/>
    <x v="17"/>
    <s v="UPI"/>
    <x v="9"/>
    <s v="Karachi"/>
    <x v="0"/>
  </r>
  <r>
    <x v="18"/>
    <x v="3"/>
    <x v="2"/>
    <n v="400"/>
    <x v="18"/>
    <s v="Credit Card"/>
    <x v="3"/>
    <s v="Karachi"/>
    <x v="1"/>
  </r>
  <r>
    <x v="19"/>
    <x v="4"/>
    <x v="1"/>
    <n v="95.75"/>
    <x v="19"/>
    <s v="Credit Card"/>
    <x v="4"/>
    <s v="Lahore"/>
    <x v="1"/>
  </r>
  <r>
    <x v="20"/>
    <x v="10"/>
    <x v="0"/>
    <n v="2500"/>
    <x v="20"/>
    <s v="Debit Card"/>
    <x v="10"/>
    <s v="Islamabad"/>
    <x v="0"/>
  </r>
  <r>
    <x v="21"/>
    <x v="5"/>
    <x v="3"/>
    <n v="38.5"/>
    <x v="21"/>
    <s v="UPI"/>
    <x v="5"/>
    <s v="Peshawar"/>
    <x v="0"/>
  </r>
  <r>
    <x v="22"/>
    <x v="6"/>
    <x v="1"/>
    <n v="140"/>
    <x v="22"/>
    <s v="Credit Card"/>
    <x v="6"/>
    <s v="Karachi"/>
    <x v="1"/>
  </r>
  <r>
    <x v="23"/>
    <x v="7"/>
    <x v="2"/>
    <n v="550"/>
    <x v="23"/>
    <s v="Credit Card"/>
    <x v="7"/>
    <s v="Rawalpindi"/>
    <x v="1"/>
  </r>
  <r>
    <x v="24"/>
    <x v="8"/>
    <x v="0"/>
    <n v="899.5"/>
    <x v="24"/>
    <s v="Debit Card"/>
    <x v="8"/>
    <s v="Lahore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07D0F8-828B-4537-AFE6-D83D09EAC3B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roduct_Category" colHeaderCaption="Tier">
  <location ref="K18:N24" firstHeaderRow="1" firstDataRow="2" firstDataCol="1"/>
  <pivotFields count="9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Total Sales" fld="3" baseField="2" baseItem="0"/>
  </dataFields>
  <formats count="10">
    <format dxfId="24">
      <pivotArea type="all" dataOnly="0" outline="0" fieldPosition="0"/>
    </format>
    <format dxfId="23">
      <pivotArea outline="0" collapsedLevelsAreSubtotals="1" fieldPosition="0"/>
    </format>
    <format dxfId="22">
      <pivotArea type="origin" dataOnly="0" labelOnly="1" outline="0" fieldPosition="0"/>
    </format>
    <format dxfId="21">
      <pivotArea field="8" type="button" dataOnly="0" labelOnly="1" outline="0" axis="axisCol" fieldPosition="0"/>
    </format>
    <format dxfId="20">
      <pivotArea type="topRight" dataOnly="0" labelOnly="1" outline="0" fieldPosition="0"/>
    </format>
    <format dxfId="19">
      <pivotArea field="2" type="button" dataOnly="0" labelOnly="1" outline="0" axis="axisRow" fieldPosition="0"/>
    </format>
    <format dxfId="18">
      <pivotArea dataOnly="0" labelOnly="1" fieldPosition="0">
        <references count="1">
          <reference field="2" count="0"/>
        </references>
      </pivotArea>
    </format>
    <format dxfId="17">
      <pivotArea dataOnly="0" labelOnly="1" grandRow="1" outline="0" fieldPosition="0"/>
    </format>
    <format dxfId="16">
      <pivotArea dataOnly="0" labelOnly="1" fieldPosition="0">
        <references count="1">
          <reference field="8" count="0"/>
        </references>
      </pivotArea>
    </format>
    <format dxfId="15">
      <pivotArea dataOnly="0" labelOnly="1" grandCol="1" outline="0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E6D816-A1B2-49F3-96AA-6F3F5E492E30}" name="Table1" displayName="Table1" ref="A1:I26" totalsRowShown="0" headerRowDxfId="0" dataDxfId="14" headerRowCellStyle="Currency" dataCellStyle="Currency">
  <autoFilter ref="A1:I26" xr:uid="{21E6D816-A1B2-49F3-96AA-6F3F5E492E30}"/>
  <sortState xmlns:xlrd2="http://schemas.microsoft.com/office/spreadsheetml/2017/richdata2" ref="A2:I26">
    <sortCondition ref="D1:D26"/>
  </sortState>
  <tableColumns count="9">
    <tableColumn id="1" xr3:uid="{25F15179-2DB6-4338-B34E-74E75FA67068}" name="Transaction_ID" dataDxfId="13" dataCellStyle="Currency"/>
    <tableColumn id="2" xr3:uid="{D3AF85EB-4A46-4342-BA24-1C4103553BC3}" name="Customer_ID" dataDxfId="12" dataCellStyle="Currency"/>
    <tableColumn id="3" xr3:uid="{C85FCDF5-4167-44D4-9D2D-381CB1EF6E3D}" name="Product_Category" dataDxfId="11" dataCellStyle="Currency"/>
    <tableColumn id="4" xr3:uid="{86F70606-D2BD-4928-961C-1A347F4CF9B7}" name="Sale_Amount" dataDxfId="10" dataCellStyle="Currency"/>
    <tableColumn id="5" xr3:uid="{C6BC0785-252C-47DE-8BD0-9D1CCC6B28E8}" name="Transaction_Date" dataDxfId="9" dataCellStyle="Currency"/>
    <tableColumn id="6" xr3:uid="{587EA93B-3189-4A4E-B089-9DA522A7CC1B}" name="Payment_Method" dataDxfId="8" dataCellStyle="Currency"/>
    <tableColumn id="7" xr3:uid="{05250881-6CDA-4236-A6AE-35BA400585F9}" name="Customer Name" dataDxfId="7" dataCellStyle="Currency">
      <calculatedColumnFormula>VLOOKUP(B2,Customer_Data!A:E,2,FALSE)</calculatedColumnFormula>
    </tableColumn>
    <tableColumn id="8" xr3:uid="{5B108C4A-6E55-4831-929F-60231F964163}" name="City" dataDxfId="6" dataCellStyle="Currency">
      <calculatedColumnFormula>VLOOKUP(B2,Customer_Data!A:E,3,FALSE)</calculatedColumnFormula>
    </tableColumn>
    <tableColumn id="9" xr3:uid="{4133A60F-D7D1-4444-8984-B8DF869043C0}" name="Customer_Tier" dataDxfId="5" dataCellStyle="Currency">
      <calculatedColumnFormula>VLOOKUP(B2,Customer_Data!A:E,5,FALSE)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90C7F78-9B5C-4954-AD0D-23DCF3EEAFE6}" name="Table13" displayName="Table13" ref="V7:W9" totalsRowShown="0" headerRowDxfId="4" dataDxfId="3" headerRowCellStyle="Currency" dataCellStyle="Currency">
  <autoFilter ref="V7:W9" xr:uid="{290C7F78-9B5C-4954-AD0D-23DCF3EEAFE6}"/>
  <tableColumns count="2">
    <tableColumn id="1" xr3:uid="{48C1FEE2-C985-405A-9FD6-A3F12AEF89FC}" name="Column1" dataDxfId="2" dataCellStyle="Currency"/>
    <tableColumn id="2" xr3:uid="{55383AE5-097F-4F25-A1C0-5769C63A164E}" name="Column2" dataDxfId="1" dataCellStyle="Currency">
      <calculatedColumnFormula>SUM(M19:M22)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>
      <selection activeCell="F30" sqref="F30"/>
    </sheetView>
  </sheetViews>
  <sheetFormatPr defaultRowHeight="15" x14ac:dyDescent="0.25"/>
  <cols>
    <col min="1" max="1" width="14.140625" bestFit="1" customWidth="1"/>
    <col min="2" max="2" width="12.42578125" bestFit="1" customWidth="1"/>
    <col min="3" max="3" width="16.85546875" bestFit="1" customWidth="1"/>
    <col min="4" max="4" width="12.85546875" bestFit="1" customWidth="1"/>
    <col min="5" max="5" width="16.42578125" bestFit="1" customWidth="1"/>
    <col min="6" max="6" width="17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1250.5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>
        <v>89.99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>
        <v>450</v>
      </c>
      <c r="E4" t="s">
        <v>19</v>
      </c>
      <c r="F4" t="s">
        <v>20</v>
      </c>
    </row>
    <row r="5" spans="1:6" x14ac:dyDescent="0.25">
      <c r="A5" t="s">
        <v>21</v>
      </c>
      <c r="B5" t="s">
        <v>22</v>
      </c>
      <c r="C5" t="s">
        <v>8</v>
      </c>
      <c r="D5">
        <v>2100.75</v>
      </c>
      <c r="E5" t="s">
        <v>23</v>
      </c>
      <c r="F5" t="s">
        <v>10</v>
      </c>
    </row>
    <row r="6" spans="1:6" x14ac:dyDescent="0.25">
      <c r="A6" t="s">
        <v>24</v>
      </c>
      <c r="B6" t="s">
        <v>25</v>
      </c>
      <c r="C6" t="s">
        <v>26</v>
      </c>
      <c r="D6">
        <v>34.5</v>
      </c>
      <c r="E6" t="s">
        <v>27</v>
      </c>
      <c r="F6" t="s">
        <v>15</v>
      </c>
    </row>
    <row r="7" spans="1:6" x14ac:dyDescent="0.25">
      <c r="A7" t="s">
        <v>28</v>
      </c>
      <c r="B7" t="s">
        <v>7</v>
      </c>
      <c r="C7" t="s">
        <v>13</v>
      </c>
      <c r="D7">
        <v>120</v>
      </c>
      <c r="E7" t="s">
        <v>29</v>
      </c>
      <c r="F7" t="s">
        <v>10</v>
      </c>
    </row>
    <row r="8" spans="1:6" x14ac:dyDescent="0.25">
      <c r="A8" t="s">
        <v>30</v>
      </c>
      <c r="B8" t="s">
        <v>12</v>
      </c>
      <c r="C8" t="s">
        <v>8</v>
      </c>
      <c r="D8">
        <v>899.99</v>
      </c>
      <c r="E8" t="s">
        <v>31</v>
      </c>
      <c r="F8" t="s">
        <v>20</v>
      </c>
    </row>
    <row r="9" spans="1:6" x14ac:dyDescent="0.25">
      <c r="A9" t="s">
        <v>32</v>
      </c>
      <c r="B9" t="s">
        <v>17</v>
      </c>
      <c r="C9" t="s">
        <v>26</v>
      </c>
      <c r="D9">
        <v>56.75</v>
      </c>
      <c r="E9" t="s">
        <v>33</v>
      </c>
      <c r="F9" t="s">
        <v>10</v>
      </c>
    </row>
    <row r="10" spans="1:6" x14ac:dyDescent="0.25">
      <c r="A10" t="s">
        <v>34</v>
      </c>
      <c r="B10" t="s">
        <v>35</v>
      </c>
      <c r="C10" t="s">
        <v>18</v>
      </c>
      <c r="D10">
        <v>750.25</v>
      </c>
      <c r="E10" t="s">
        <v>36</v>
      </c>
      <c r="F10" t="s">
        <v>15</v>
      </c>
    </row>
    <row r="11" spans="1:6" x14ac:dyDescent="0.25">
      <c r="A11" t="s">
        <v>37</v>
      </c>
      <c r="B11" t="s">
        <v>22</v>
      </c>
      <c r="C11" t="s">
        <v>13</v>
      </c>
      <c r="D11">
        <v>199.99</v>
      </c>
      <c r="E11" t="s">
        <v>38</v>
      </c>
      <c r="F11" t="s">
        <v>10</v>
      </c>
    </row>
    <row r="12" spans="1:6" x14ac:dyDescent="0.25">
      <c r="A12" t="s">
        <v>39</v>
      </c>
      <c r="B12" t="s">
        <v>40</v>
      </c>
      <c r="C12" t="s">
        <v>8</v>
      </c>
      <c r="D12">
        <v>1899</v>
      </c>
      <c r="E12" t="s">
        <v>41</v>
      </c>
      <c r="F12" t="s">
        <v>20</v>
      </c>
    </row>
    <row r="13" spans="1:6" x14ac:dyDescent="0.25">
      <c r="A13" t="s">
        <v>42</v>
      </c>
      <c r="B13" t="s">
        <v>25</v>
      </c>
      <c r="C13" t="s">
        <v>18</v>
      </c>
      <c r="D13">
        <v>320</v>
      </c>
      <c r="E13" t="s">
        <v>43</v>
      </c>
      <c r="F13" t="s">
        <v>10</v>
      </c>
    </row>
    <row r="14" spans="1:6" x14ac:dyDescent="0.25">
      <c r="A14" t="s">
        <v>44</v>
      </c>
      <c r="B14" t="s">
        <v>45</v>
      </c>
      <c r="C14" t="s">
        <v>26</v>
      </c>
      <c r="D14">
        <v>45.25</v>
      </c>
      <c r="E14" t="s">
        <v>46</v>
      </c>
      <c r="F14" t="s">
        <v>15</v>
      </c>
    </row>
    <row r="15" spans="1:6" x14ac:dyDescent="0.25">
      <c r="A15" t="s">
        <v>47</v>
      </c>
      <c r="B15" t="s">
        <v>7</v>
      </c>
      <c r="C15" t="s">
        <v>8</v>
      </c>
      <c r="D15">
        <v>550</v>
      </c>
      <c r="E15" t="s">
        <v>48</v>
      </c>
      <c r="F15" t="s">
        <v>10</v>
      </c>
    </row>
    <row r="16" spans="1:6" x14ac:dyDescent="0.25">
      <c r="A16" t="s">
        <v>49</v>
      </c>
      <c r="B16" t="s">
        <v>50</v>
      </c>
      <c r="C16" t="s">
        <v>13</v>
      </c>
      <c r="D16">
        <v>75.5</v>
      </c>
      <c r="E16" t="s">
        <v>51</v>
      </c>
      <c r="F16" t="s">
        <v>20</v>
      </c>
    </row>
    <row r="17" spans="1:6" x14ac:dyDescent="0.25">
      <c r="A17" t="s">
        <v>52</v>
      </c>
      <c r="B17" t="s">
        <v>12</v>
      </c>
      <c r="C17" t="s">
        <v>18</v>
      </c>
      <c r="D17">
        <v>600</v>
      </c>
      <c r="E17" t="s">
        <v>53</v>
      </c>
      <c r="F17" t="s">
        <v>10</v>
      </c>
    </row>
    <row r="18" spans="1:6" x14ac:dyDescent="0.25">
      <c r="A18" t="s">
        <v>54</v>
      </c>
      <c r="B18" t="s">
        <v>17</v>
      </c>
      <c r="C18" t="s">
        <v>8</v>
      </c>
      <c r="D18">
        <v>1200</v>
      </c>
      <c r="E18" t="s">
        <v>55</v>
      </c>
      <c r="F18" t="s">
        <v>15</v>
      </c>
    </row>
    <row r="19" spans="1:6" x14ac:dyDescent="0.25">
      <c r="A19" t="s">
        <v>56</v>
      </c>
      <c r="B19" t="s">
        <v>57</v>
      </c>
      <c r="C19" t="s">
        <v>26</v>
      </c>
      <c r="D19">
        <v>62.99</v>
      </c>
      <c r="E19" t="s">
        <v>58</v>
      </c>
      <c r="F19" t="s">
        <v>20</v>
      </c>
    </row>
    <row r="20" spans="1:6" x14ac:dyDescent="0.25">
      <c r="A20" t="s">
        <v>59</v>
      </c>
      <c r="B20" t="s">
        <v>22</v>
      </c>
      <c r="C20" t="s">
        <v>18</v>
      </c>
      <c r="D20">
        <v>400</v>
      </c>
      <c r="E20" t="s">
        <v>60</v>
      </c>
      <c r="F20" t="s">
        <v>10</v>
      </c>
    </row>
    <row r="21" spans="1:6" x14ac:dyDescent="0.25">
      <c r="A21" t="s">
        <v>61</v>
      </c>
      <c r="B21" t="s">
        <v>25</v>
      </c>
      <c r="C21" t="s">
        <v>13</v>
      </c>
      <c r="D21">
        <v>95.75</v>
      </c>
      <c r="E21" t="s">
        <v>62</v>
      </c>
      <c r="F21" t="s">
        <v>10</v>
      </c>
    </row>
    <row r="22" spans="1:6" x14ac:dyDescent="0.25">
      <c r="A22" t="s">
        <v>63</v>
      </c>
      <c r="B22" t="s">
        <v>64</v>
      </c>
      <c r="C22" t="s">
        <v>8</v>
      </c>
      <c r="D22">
        <v>2500</v>
      </c>
      <c r="E22" t="s">
        <v>65</v>
      </c>
      <c r="F22" t="s">
        <v>15</v>
      </c>
    </row>
    <row r="23" spans="1:6" x14ac:dyDescent="0.25">
      <c r="A23" t="s">
        <v>66</v>
      </c>
      <c r="B23" t="s">
        <v>35</v>
      </c>
      <c r="C23" t="s">
        <v>26</v>
      </c>
      <c r="D23">
        <v>38.5</v>
      </c>
      <c r="E23" t="s">
        <v>67</v>
      </c>
      <c r="F23" t="s">
        <v>20</v>
      </c>
    </row>
    <row r="24" spans="1:6" x14ac:dyDescent="0.25">
      <c r="A24" t="s">
        <v>68</v>
      </c>
      <c r="B24" t="s">
        <v>40</v>
      </c>
      <c r="C24" t="s">
        <v>13</v>
      </c>
      <c r="D24">
        <v>140</v>
      </c>
      <c r="E24" t="s">
        <v>69</v>
      </c>
      <c r="F24" t="s">
        <v>10</v>
      </c>
    </row>
    <row r="25" spans="1:6" x14ac:dyDescent="0.25">
      <c r="A25" t="s">
        <v>70</v>
      </c>
      <c r="B25" t="s">
        <v>45</v>
      </c>
      <c r="C25" t="s">
        <v>18</v>
      </c>
      <c r="D25">
        <v>550</v>
      </c>
      <c r="E25" t="s">
        <v>71</v>
      </c>
      <c r="F25" t="s">
        <v>10</v>
      </c>
    </row>
    <row r="26" spans="1:6" x14ac:dyDescent="0.25">
      <c r="A26" t="s">
        <v>72</v>
      </c>
      <c r="B26" t="s">
        <v>50</v>
      </c>
      <c r="C26" t="s">
        <v>8</v>
      </c>
      <c r="D26">
        <v>899.5</v>
      </c>
      <c r="E26" t="s">
        <v>73</v>
      </c>
      <c r="F26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D38" sqref="D38"/>
    </sheetView>
  </sheetViews>
  <sheetFormatPr defaultRowHeight="15" x14ac:dyDescent="0.25"/>
  <cols>
    <col min="2" max="2" width="16" bestFit="1" customWidth="1"/>
    <col min="3" max="3" width="10.85546875" bestFit="1" customWidth="1"/>
    <col min="4" max="4" width="17" bestFit="1" customWidth="1"/>
    <col min="5" max="5" width="14.140625" bestFit="1" customWidth="1"/>
  </cols>
  <sheetData>
    <row r="1" spans="1:5" x14ac:dyDescent="0.25">
      <c r="A1" t="s">
        <v>1</v>
      </c>
      <c r="B1" t="s">
        <v>74</v>
      </c>
      <c r="C1" t="s">
        <v>75</v>
      </c>
      <c r="D1" t="s">
        <v>76</v>
      </c>
      <c r="E1" t="s">
        <v>77</v>
      </c>
    </row>
    <row r="2" spans="1:5" x14ac:dyDescent="0.25">
      <c r="A2" t="s">
        <v>7</v>
      </c>
      <c r="B2" t="s">
        <v>78</v>
      </c>
      <c r="C2" t="s">
        <v>79</v>
      </c>
      <c r="D2" t="s">
        <v>80</v>
      </c>
      <c r="E2" t="s">
        <v>81</v>
      </c>
    </row>
    <row r="3" spans="1:5" x14ac:dyDescent="0.25">
      <c r="A3" t="s">
        <v>12</v>
      </c>
      <c r="B3" t="s">
        <v>82</v>
      </c>
      <c r="C3" t="s">
        <v>83</v>
      </c>
      <c r="D3" t="s">
        <v>84</v>
      </c>
      <c r="E3" t="s">
        <v>85</v>
      </c>
    </row>
    <row r="4" spans="1:5" x14ac:dyDescent="0.25">
      <c r="A4" t="s">
        <v>17</v>
      </c>
      <c r="B4" t="s">
        <v>86</v>
      </c>
      <c r="C4" t="s">
        <v>87</v>
      </c>
      <c r="D4" t="s">
        <v>88</v>
      </c>
      <c r="E4" t="s">
        <v>81</v>
      </c>
    </row>
    <row r="5" spans="1:5" x14ac:dyDescent="0.25">
      <c r="A5" t="s">
        <v>22</v>
      </c>
      <c r="B5" t="s">
        <v>89</v>
      </c>
      <c r="C5" t="s">
        <v>79</v>
      </c>
      <c r="D5" t="s">
        <v>90</v>
      </c>
      <c r="E5" t="s">
        <v>85</v>
      </c>
    </row>
    <row r="6" spans="1:5" x14ac:dyDescent="0.25">
      <c r="A6" t="s">
        <v>25</v>
      </c>
      <c r="B6" t="s">
        <v>91</v>
      </c>
      <c r="C6" t="s">
        <v>83</v>
      </c>
      <c r="D6" t="s">
        <v>92</v>
      </c>
      <c r="E6" t="s">
        <v>85</v>
      </c>
    </row>
    <row r="7" spans="1:5" x14ac:dyDescent="0.25">
      <c r="A7" t="s">
        <v>35</v>
      </c>
      <c r="B7" t="s">
        <v>93</v>
      </c>
      <c r="C7" t="s">
        <v>94</v>
      </c>
      <c r="D7" t="s">
        <v>95</v>
      </c>
      <c r="E7" t="s">
        <v>81</v>
      </c>
    </row>
    <row r="8" spans="1:5" x14ac:dyDescent="0.25">
      <c r="A8" t="s">
        <v>40</v>
      </c>
      <c r="B8" t="s">
        <v>96</v>
      </c>
      <c r="C8" t="s">
        <v>79</v>
      </c>
      <c r="D8" t="s">
        <v>97</v>
      </c>
      <c r="E8" t="s">
        <v>85</v>
      </c>
    </row>
    <row r="9" spans="1:5" x14ac:dyDescent="0.25">
      <c r="A9" t="s">
        <v>45</v>
      </c>
      <c r="B9" t="s">
        <v>98</v>
      </c>
      <c r="C9" t="s">
        <v>99</v>
      </c>
      <c r="D9" t="s">
        <v>23</v>
      </c>
      <c r="E9" t="s">
        <v>85</v>
      </c>
    </row>
    <row r="10" spans="1:5" x14ac:dyDescent="0.25">
      <c r="A10" t="s">
        <v>50</v>
      </c>
      <c r="B10" t="s">
        <v>100</v>
      </c>
      <c r="C10" t="s">
        <v>83</v>
      </c>
      <c r="D10" t="s">
        <v>41</v>
      </c>
      <c r="E10" t="s">
        <v>85</v>
      </c>
    </row>
    <row r="11" spans="1:5" x14ac:dyDescent="0.25">
      <c r="A11" t="s">
        <v>57</v>
      </c>
      <c r="B11" t="s">
        <v>101</v>
      </c>
      <c r="C11" t="s">
        <v>79</v>
      </c>
      <c r="D11" t="s">
        <v>48</v>
      </c>
      <c r="E11" t="s">
        <v>81</v>
      </c>
    </row>
    <row r="12" spans="1:5" x14ac:dyDescent="0.25">
      <c r="A12" t="s">
        <v>64</v>
      </c>
      <c r="B12" t="s">
        <v>102</v>
      </c>
      <c r="C12" t="s">
        <v>87</v>
      </c>
      <c r="D12" t="s">
        <v>65</v>
      </c>
      <c r="E12" t="s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2"/>
  <sheetViews>
    <sheetView tabSelected="1" zoomScale="50" zoomScaleNormal="50" workbookViewId="0">
      <selection activeCell="P30" sqref="P30"/>
    </sheetView>
  </sheetViews>
  <sheetFormatPr defaultRowHeight="21.75" x14ac:dyDescent="0.6"/>
  <cols>
    <col min="1" max="1" width="24.5703125" style="1" bestFit="1" customWidth="1"/>
    <col min="2" max="2" width="18.42578125" style="1" bestFit="1" customWidth="1"/>
    <col min="3" max="3" width="23.28515625" style="1" customWidth="1"/>
    <col min="4" max="4" width="26.5703125" style="1" customWidth="1"/>
    <col min="5" max="5" width="31.5703125" style="1" bestFit="1" customWidth="1"/>
    <col min="6" max="6" width="29.85546875" style="1" customWidth="1"/>
    <col min="7" max="7" width="28.42578125" style="1" bestFit="1" customWidth="1"/>
    <col min="8" max="8" width="15.28515625" style="1" bestFit="1" customWidth="1"/>
    <col min="9" max="9" width="27.5703125" style="1" bestFit="1" customWidth="1"/>
    <col min="10" max="10" width="9.140625" style="1"/>
    <col min="11" max="11" width="28.7109375" style="1" bestFit="1" customWidth="1"/>
    <col min="12" max="12" width="23.7109375" style="1" bestFit="1" customWidth="1"/>
    <col min="13" max="13" width="16.7109375" style="1" bestFit="1" customWidth="1"/>
    <col min="14" max="14" width="17.5703125" style="1" bestFit="1" customWidth="1"/>
    <col min="15" max="15" width="9.140625" style="1"/>
    <col min="16" max="16" width="31" style="1" bestFit="1" customWidth="1"/>
    <col min="17" max="17" width="13.42578125" style="1" bestFit="1" customWidth="1"/>
    <col min="18" max="22" width="9.140625" style="1"/>
    <col min="23" max="23" width="13.140625" style="1" bestFit="1" customWidth="1"/>
    <col min="24" max="16384" width="9.140625" style="1"/>
  </cols>
  <sheetData>
    <row r="1" spans="1:23" s="12" customFormat="1" ht="19.5" x14ac:dyDescent="0.55000000000000004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103</v>
      </c>
      <c r="H1" s="12" t="s">
        <v>75</v>
      </c>
      <c r="I1" s="12" t="s">
        <v>77</v>
      </c>
    </row>
    <row r="2" spans="1:23" x14ac:dyDescent="0.6">
      <c r="A2" s="1" t="s">
        <v>24</v>
      </c>
      <c r="B2" s="1" t="s">
        <v>25</v>
      </c>
      <c r="C2" s="1" t="s">
        <v>26</v>
      </c>
      <c r="D2" s="1">
        <v>34.5</v>
      </c>
      <c r="E2" s="1" t="s">
        <v>27</v>
      </c>
      <c r="F2" s="1" t="s">
        <v>15</v>
      </c>
      <c r="G2" s="1" t="str">
        <f>VLOOKUP(B2,Customer_Data!A:E,2,FALSE)</f>
        <v>Ahmed Hassan</v>
      </c>
      <c r="H2" s="1" t="str">
        <f>VLOOKUP(B2,Customer_Data!A:E,3,FALSE)</f>
        <v>Lahore</v>
      </c>
      <c r="I2" s="1" t="str">
        <f>VLOOKUP(B2,Customer_Data!A:E,5,FALSE)</f>
        <v>Standard</v>
      </c>
    </row>
    <row r="3" spans="1:23" x14ac:dyDescent="0.6">
      <c r="A3" s="1" t="s">
        <v>66</v>
      </c>
      <c r="B3" s="1" t="s">
        <v>35</v>
      </c>
      <c r="C3" s="1" t="s">
        <v>26</v>
      </c>
      <c r="D3" s="1">
        <v>38.5</v>
      </c>
      <c r="E3" s="1" t="s">
        <v>67</v>
      </c>
      <c r="F3" s="1" t="s">
        <v>20</v>
      </c>
      <c r="G3" s="1" t="str">
        <f>VLOOKUP(B3,Customer_Data!A:E,2,FALSE)</f>
        <v>Zainab Khan</v>
      </c>
      <c r="H3" s="1" t="str">
        <f>VLOOKUP(B3,Customer_Data!A:E,3,FALSE)</f>
        <v>Peshawar</v>
      </c>
      <c r="I3" s="1" t="str">
        <f>VLOOKUP(B3,Customer_Data!A:E,5,FALSE)</f>
        <v>Premium</v>
      </c>
    </row>
    <row r="4" spans="1:23" x14ac:dyDescent="0.6">
      <c r="A4" s="1" t="s">
        <v>44</v>
      </c>
      <c r="B4" s="1" t="s">
        <v>45</v>
      </c>
      <c r="C4" s="1" t="s">
        <v>26</v>
      </c>
      <c r="D4" s="1">
        <v>45.25</v>
      </c>
      <c r="E4" s="1" t="s">
        <v>46</v>
      </c>
      <c r="F4" s="1" t="s">
        <v>15</v>
      </c>
      <c r="G4" s="1" t="str">
        <f>VLOOKUP(B4,Customer_Data!A:E,2,FALSE)</f>
        <v>Hira Ahmed</v>
      </c>
      <c r="H4" s="1" t="str">
        <f>VLOOKUP(B4,Customer_Data!A:E,3,FALSE)</f>
        <v>Rawalpindi</v>
      </c>
      <c r="I4" s="1" t="str">
        <f>VLOOKUP(B4,Customer_Data!A:E,5,FALSE)</f>
        <v>Standard</v>
      </c>
    </row>
    <row r="5" spans="1:23" x14ac:dyDescent="0.6">
      <c r="A5" s="1" t="s">
        <v>32</v>
      </c>
      <c r="B5" s="1" t="s">
        <v>17</v>
      </c>
      <c r="C5" s="1" t="s">
        <v>26</v>
      </c>
      <c r="D5" s="1">
        <v>56.75</v>
      </c>
      <c r="E5" s="1" t="s">
        <v>33</v>
      </c>
      <c r="F5" s="1" t="s">
        <v>10</v>
      </c>
      <c r="G5" s="1" t="str">
        <f>VLOOKUP(B5,Customer_Data!A:E,2,FALSE)</f>
        <v>Hassan Ali</v>
      </c>
      <c r="H5" s="1" t="str">
        <f>VLOOKUP(B5,Customer_Data!A:E,3,FALSE)</f>
        <v>Islamabad</v>
      </c>
      <c r="I5" s="1" t="str">
        <f>VLOOKUP(B5,Customer_Data!A:E,5,FALSE)</f>
        <v>Premium</v>
      </c>
    </row>
    <row r="6" spans="1:23" x14ac:dyDescent="0.6">
      <c r="A6" s="1" t="s">
        <v>56</v>
      </c>
      <c r="B6" s="1" t="s">
        <v>57</v>
      </c>
      <c r="C6" s="1" t="s">
        <v>26</v>
      </c>
      <c r="D6" s="1">
        <v>62.99</v>
      </c>
      <c r="E6" s="1" t="s">
        <v>58</v>
      </c>
      <c r="F6" s="1" t="s">
        <v>20</v>
      </c>
      <c r="G6" s="1" t="str">
        <f>VLOOKUP(B6,Customer_Data!A:E,2,FALSE)</f>
        <v>Nida Malik</v>
      </c>
      <c r="H6" s="1" t="str">
        <f>VLOOKUP(B6,Customer_Data!A:E,3,FALSE)</f>
        <v>Karachi</v>
      </c>
      <c r="I6" s="1" t="str">
        <f>VLOOKUP(B6,Customer_Data!A:E,5,FALSE)</f>
        <v>Premium</v>
      </c>
    </row>
    <row r="7" spans="1:23" x14ac:dyDescent="0.6">
      <c r="A7" s="1" t="s">
        <v>49</v>
      </c>
      <c r="B7" s="1" t="s">
        <v>50</v>
      </c>
      <c r="C7" s="1" t="s">
        <v>13</v>
      </c>
      <c r="D7" s="1">
        <v>75.5</v>
      </c>
      <c r="E7" s="1" t="s">
        <v>51</v>
      </c>
      <c r="F7" s="1" t="s">
        <v>20</v>
      </c>
      <c r="G7" s="1" t="str">
        <f>VLOOKUP(B7,Customer_Data!A:E,2,FALSE)</f>
        <v>Bilal Khan</v>
      </c>
      <c r="H7" s="1" t="str">
        <f>VLOOKUP(B7,Customer_Data!A:E,3,FALSE)</f>
        <v>Lahore</v>
      </c>
      <c r="I7" s="1" t="str">
        <f>VLOOKUP(B7,Customer_Data!A:E,5,FALSE)</f>
        <v>Standard</v>
      </c>
      <c r="V7" s="1" t="s">
        <v>104</v>
      </c>
      <c r="W7" s="1" t="s">
        <v>112</v>
      </c>
    </row>
    <row r="8" spans="1:23" x14ac:dyDescent="0.6">
      <c r="A8" s="1" t="s">
        <v>11</v>
      </c>
      <c r="B8" s="1" t="s">
        <v>12</v>
      </c>
      <c r="C8" s="1" t="s">
        <v>13</v>
      </c>
      <c r="D8" s="1">
        <v>89.99</v>
      </c>
      <c r="E8" s="1" t="s">
        <v>14</v>
      </c>
      <c r="F8" s="1" t="s">
        <v>15</v>
      </c>
      <c r="G8" s="1" t="str">
        <f>VLOOKUP(B8,Customer_Data!A:E,2,FALSE)</f>
        <v>Sara Ahmed</v>
      </c>
      <c r="H8" s="1" t="str">
        <f>VLOOKUP(B8,Customer_Data!A:E,3,FALSE)</f>
        <v>Lahore</v>
      </c>
      <c r="I8" s="1" t="str">
        <f>VLOOKUP(B8,Customer_Data!A:E,5,FALSE)</f>
        <v>Standard</v>
      </c>
      <c r="V8" s="1" t="s">
        <v>81</v>
      </c>
      <c r="W8" s="1">
        <f>SUM(L20:L23)</f>
        <v>6978.99</v>
      </c>
    </row>
    <row r="9" spans="1:23" x14ac:dyDescent="0.6">
      <c r="A9" s="1" t="s">
        <v>61</v>
      </c>
      <c r="B9" s="1" t="s">
        <v>25</v>
      </c>
      <c r="C9" s="1" t="s">
        <v>13</v>
      </c>
      <c r="D9" s="1">
        <v>95.75</v>
      </c>
      <c r="E9" s="1" t="s">
        <v>62</v>
      </c>
      <c r="F9" s="1" t="s">
        <v>10</v>
      </c>
      <c r="G9" s="1" t="str">
        <f>VLOOKUP(B9,Customer_Data!A:E,2,FALSE)</f>
        <v>Ahmed Hassan</v>
      </c>
      <c r="H9" s="1" t="str">
        <f>VLOOKUP(B9,Customer_Data!A:E,3,FALSE)</f>
        <v>Lahore</v>
      </c>
      <c r="I9" s="1" t="str">
        <f>VLOOKUP(B9,Customer_Data!A:E,5,FALSE)</f>
        <v>Standard</v>
      </c>
      <c r="V9" s="1" t="s">
        <v>85</v>
      </c>
      <c r="W9" s="1">
        <f>SUM(M20:M23)</f>
        <v>8350.2199999999993</v>
      </c>
    </row>
    <row r="10" spans="1:23" x14ac:dyDescent="0.6">
      <c r="A10" s="1" t="s">
        <v>28</v>
      </c>
      <c r="B10" s="1" t="s">
        <v>7</v>
      </c>
      <c r="C10" s="1" t="s">
        <v>13</v>
      </c>
      <c r="D10" s="1">
        <v>120</v>
      </c>
      <c r="E10" s="1" t="s">
        <v>29</v>
      </c>
      <c r="F10" s="1" t="s">
        <v>10</v>
      </c>
      <c r="G10" s="1" t="str">
        <f>VLOOKUP(B10,Customer_Data!A:E,2,FALSE)</f>
        <v>Ali Khan</v>
      </c>
      <c r="H10" s="1" t="str">
        <f>VLOOKUP(B10,Customer_Data!A:E,3,FALSE)</f>
        <v>Karachi</v>
      </c>
      <c r="I10" s="1" t="str">
        <f>VLOOKUP(B10,Customer_Data!A:E,5,FALSE)</f>
        <v>Premium</v>
      </c>
    </row>
    <row r="11" spans="1:23" x14ac:dyDescent="0.6">
      <c r="A11" s="1" t="s">
        <v>68</v>
      </c>
      <c r="B11" s="1" t="s">
        <v>40</v>
      </c>
      <c r="C11" s="1" t="s">
        <v>13</v>
      </c>
      <c r="D11" s="1">
        <v>140</v>
      </c>
      <c r="E11" s="1" t="s">
        <v>69</v>
      </c>
      <c r="F11" s="1" t="s">
        <v>10</v>
      </c>
      <c r="G11" s="1" t="str">
        <f>VLOOKUP(B11,Customer_Data!A:E,2,FALSE)</f>
        <v>Muhammad Aziz</v>
      </c>
      <c r="H11" s="1" t="str">
        <f>VLOOKUP(B11,Customer_Data!A:E,3,FALSE)</f>
        <v>Karachi</v>
      </c>
      <c r="I11" s="1" t="str">
        <f>VLOOKUP(B11,Customer_Data!A:E,5,FALSE)</f>
        <v>Standard</v>
      </c>
    </row>
    <row r="12" spans="1:23" x14ac:dyDescent="0.6">
      <c r="A12" s="1" t="s">
        <v>37</v>
      </c>
      <c r="B12" s="1" t="s">
        <v>22</v>
      </c>
      <c r="C12" s="1" t="s">
        <v>13</v>
      </c>
      <c r="D12" s="1">
        <v>199.99</v>
      </c>
      <c r="E12" s="1" t="s">
        <v>38</v>
      </c>
      <c r="F12" s="1" t="s">
        <v>10</v>
      </c>
      <c r="G12" s="1" t="str">
        <f>VLOOKUP(B12,Customer_Data!A:E,2,FALSE)</f>
        <v>Fatima Malik</v>
      </c>
      <c r="H12" s="1" t="str">
        <f>VLOOKUP(B12,Customer_Data!A:E,3,FALSE)</f>
        <v>Karachi</v>
      </c>
      <c r="I12" s="1" t="str">
        <f>VLOOKUP(B12,Customer_Data!A:E,5,FALSE)</f>
        <v>Standard</v>
      </c>
    </row>
    <row r="13" spans="1:23" x14ac:dyDescent="0.6">
      <c r="A13" s="1" t="s">
        <v>42</v>
      </c>
      <c r="B13" s="1" t="s">
        <v>25</v>
      </c>
      <c r="C13" s="1" t="s">
        <v>18</v>
      </c>
      <c r="D13" s="1">
        <v>320</v>
      </c>
      <c r="E13" s="1" t="s">
        <v>43</v>
      </c>
      <c r="F13" s="1" t="s">
        <v>10</v>
      </c>
      <c r="G13" s="1" t="str">
        <f>VLOOKUP(B13,Customer_Data!A:E,2,FALSE)</f>
        <v>Ahmed Hassan</v>
      </c>
      <c r="H13" s="1" t="str">
        <f>VLOOKUP(B13,Customer_Data!A:E,3,FALSE)</f>
        <v>Lahore</v>
      </c>
      <c r="I13" s="1" t="str">
        <f>VLOOKUP(B13,Customer_Data!A:E,5,FALSE)</f>
        <v>Standard</v>
      </c>
    </row>
    <row r="14" spans="1:23" x14ac:dyDescent="0.6">
      <c r="A14" s="1" t="s">
        <v>59</v>
      </c>
      <c r="B14" s="1" t="s">
        <v>22</v>
      </c>
      <c r="C14" s="1" t="s">
        <v>18</v>
      </c>
      <c r="D14" s="1">
        <v>400</v>
      </c>
      <c r="E14" s="1" t="s">
        <v>60</v>
      </c>
      <c r="F14" s="1" t="s">
        <v>10</v>
      </c>
      <c r="G14" s="1" t="str">
        <f>VLOOKUP(B14,Customer_Data!A:E,2,FALSE)</f>
        <v>Fatima Malik</v>
      </c>
      <c r="H14" s="1" t="str">
        <f>VLOOKUP(B14,Customer_Data!A:E,3,FALSE)</f>
        <v>Karachi</v>
      </c>
      <c r="I14" s="1" t="str">
        <f>VLOOKUP(B14,Customer_Data!A:E,5,FALSE)</f>
        <v>Standard</v>
      </c>
    </row>
    <row r="15" spans="1:23" x14ac:dyDescent="0.6">
      <c r="A15" s="1" t="s">
        <v>16</v>
      </c>
      <c r="B15" s="1" t="s">
        <v>17</v>
      </c>
      <c r="C15" s="1" t="s">
        <v>18</v>
      </c>
      <c r="D15" s="1">
        <v>450</v>
      </c>
      <c r="E15" s="1" t="s">
        <v>19</v>
      </c>
      <c r="F15" s="1" t="s">
        <v>20</v>
      </c>
      <c r="G15" s="1" t="str">
        <f>VLOOKUP(B15,Customer_Data!A:E,2,FALSE)</f>
        <v>Hassan Ali</v>
      </c>
      <c r="H15" s="1" t="str">
        <f>VLOOKUP(B15,Customer_Data!A:E,3,FALSE)</f>
        <v>Islamabad</v>
      </c>
      <c r="I15" s="1" t="str">
        <f>VLOOKUP(B15,Customer_Data!A:E,5,FALSE)</f>
        <v>Premium</v>
      </c>
    </row>
    <row r="16" spans="1:23" x14ac:dyDescent="0.6">
      <c r="A16" s="1" t="s">
        <v>47</v>
      </c>
      <c r="B16" s="1" t="s">
        <v>7</v>
      </c>
      <c r="C16" s="1" t="s">
        <v>8</v>
      </c>
      <c r="D16" s="1">
        <v>550</v>
      </c>
      <c r="E16" s="1" t="s">
        <v>48</v>
      </c>
      <c r="F16" s="1" t="s">
        <v>10</v>
      </c>
      <c r="G16" s="1" t="str">
        <f>VLOOKUP(B16,Customer_Data!A:E,2,FALSE)</f>
        <v>Ali Khan</v>
      </c>
      <c r="H16" s="1" t="str">
        <f>VLOOKUP(B16,Customer_Data!A:E,3,FALSE)</f>
        <v>Karachi</v>
      </c>
      <c r="I16" s="1" t="str">
        <f>VLOOKUP(B16,Customer_Data!A:E,5,FALSE)</f>
        <v>Premium</v>
      </c>
    </row>
    <row r="17" spans="1:22" ht="22.5" thickBot="1" x14ac:dyDescent="0.65">
      <c r="A17" s="1" t="s">
        <v>70</v>
      </c>
      <c r="B17" s="1" t="s">
        <v>45</v>
      </c>
      <c r="C17" s="1" t="s">
        <v>18</v>
      </c>
      <c r="D17" s="1">
        <v>550</v>
      </c>
      <c r="E17" s="1" t="s">
        <v>71</v>
      </c>
      <c r="F17" s="1" t="s">
        <v>10</v>
      </c>
      <c r="G17" s="1" t="str">
        <f>VLOOKUP(B17,Customer_Data!A:E,2,FALSE)</f>
        <v>Hira Ahmed</v>
      </c>
      <c r="H17" s="1" t="str">
        <f>VLOOKUP(B17,Customer_Data!A:E,3,FALSE)</f>
        <v>Rawalpindi</v>
      </c>
      <c r="I17" s="1" t="str">
        <f>VLOOKUP(B17,Customer_Data!A:E,5,FALSE)</f>
        <v>Standard</v>
      </c>
    </row>
    <row r="18" spans="1:22" ht="32.25" thickTop="1" thickBot="1" x14ac:dyDescent="0.9">
      <c r="A18" s="1" t="s">
        <v>52</v>
      </c>
      <c r="B18" s="1" t="s">
        <v>12</v>
      </c>
      <c r="C18" s="1" t="s">
        <v>18</v>
      </c>
      <c r="D18" s="1">
        <v>600</v>
      </c>
      <c r="E18" s="1" t="s">
        <v>53</v>
      </c>
      <c r="F18" s="1" t="s">
        <v>10</v>
      </c>
      <c r="G18" s="1" t="str">
        <f>VLOOKUP(B18,Customer_Data!A:E,2,FALSE)</f>
        <v>Sara Ahmed</v>
      </c>
      <c r="H18" s="1" t="str">
        <f>VLOOKUP(B18,Customer_Data!A:E,3,FALSE)</f>
        <v>Lahore</v>
      </c>
      <c r="I18" s="1" t="str">
        <f>VLOOKUP(B18,Customer_Data!A:E,5,FALSE)</f>
        <v>Standard</v>
      </c>
      <c r="K18" s="2" t="s">
        <v>114</v>
      </c>
      <c r="L18" s="2" t="s">
        <v>127</v>
      </c>
      <c r="P18" s="13" t="s">
        <v>105</v>
      </c>
      <c r="Q18" s="13"/>
      <c r="S18" s="9" t="s">
        <v>126</v>
      </c>
    </row>
    <row r="19" spans="1:22" ht="31.5" thickTop="1" x14ac:dyDescent="0.85">
      <c r="A19" s="1" t="s">
        <v>34</v>
      </c>
      <c r="B19" s="1" t="s">
        <v>35</v>
      </c>
      <c r="C19" s="1" t="s">
        <v>18</v>
      </c>
      <c r="D19" s="1">
        <v>750.25</v>
      </c>
      <c r="E19" s="1" t="s">
        <v>36</v>
      </c>
      <c r="F19" s="1" t="s">
        <v>15</v>
      </c>
      <c r="G19" s="1" t="str">
        <f>VLOOKUP(B19,Customer_Data!A:E,2,FALSE)</f>
        <v>Zainab Khan</v>
      </c>
      <c r="H19" s="1" t="str">
        <f>VLOOKUP(B19,Customer_Data!A:E,3,FALSE)</f>
        <v>Peshawar</v>
      </c>
      <c r="I19" s="1" t="str">
        <f>VLOOKUP(B19,Customer_Data!A:E,5,FALSE)</f>
        <v>Premium</v>
      </c>
      <c r="K19" s="2" t="s">
        <v>2</v>
      </c>
      <c r="L19" s="1" t="s">
        <v>81</v>
      </c>
      <c r="M19" s="1" t="s">
        <v>85</v>
      </c>
      <c r="N19" s="1" t="s">
        <v>113</v>
      </c>
      <c r="P19" s="1" t="s">
        <v>106</v>
      </c>
      <c r="Q19" s="1">
        <f>SUM(Table1[Sale_Amount])</f>
        <v>15329.21</v>
      </c>
      <c r="S19" s="10" t="s">
        <v>121</v>
      </c>
    </row>
    <row r="20" spans="1:22" ht="30.75" x14ac:dyDescent="0.6">
      <c r="A20" s="1" t="s">
        <v>72</v>
      </c>
      <c r="B20" s="1" t="s">
        <v>50</v>
      </c>
      <c r="C20" s="1" t="s">
        <v>8</v>
      </c>
      <c r="D20" s="1">
        <v>899.5</v>
      </c>
      <c r="E20" s="1" t="s">
        <v>73</v>
      </c>
      <c r="F20" s="1" t="s">
        <v>15</v>
      </c>
      <c r="G20" s="1" t="str">
        <f>VLOOKUP(B20,Customer_Data!A:E,2,FALSE)</f>
        <v>Bilal Khan</v>
      </c>
      <c r="H20" s="1" t="str">
        <f>VLOOKUP(B20,Customer_Data!A:E,3,FALSE)</f>
        <v>Lahore</v>
      </c>
      <c r="I20" s="1" t="str">
        <f>VLOOKUP(B20,Customer_Data!A:E,5,FALSE)</f>
        <v>Standard</v>
      </c>
      <c r="K20" s="3" t="s">
        <v>26</v>
      </c>
      <c r="L20" s="1">
        <v>158.24</v>
      </c>
      <c r="M20" s="1">
        <v>79.75</v>
      </c>
      <c r="N20" s="1">
        <v>237.99</v>
      </c>
      <c r="P20" s="1" t="s">
        <v>107</v>
      </c>
      <c r="Q20" s="1">
        <f>AVERAGE(Table1[Sale_Amount])</f>
        <v>613.16840000000002</v>
      </c>
      <c r="S20" s="11" t="s">
        <v>122</v>
      </c>
    </row>
    <row r="21" spans="1:22" ht="30.75" x14ac:dyDescent="0.85">
      <c r="A21" s="1" t="s">
        <v>30</v>
      </c>
      <c r="B21" s="1" t="s">
        <v>12</v>
      </c>
      <c r="C21" s="1" t="s">
        <v>8</v>
      </c>
      <c r="D21" s="1">
        <v>899.99</v>
      </c>
      <c r="E21" s="1" t="s">
        <v>31</v>
      </c>
      <c r="F21" s="1" t="s">
        <v>20</v>
      </c>
      <c r="G21" s="1" t="str">
        <f>VLOOKUP(B21,Customer_Data!A:E,2,FALSE)</f>
        <v>Sara Ahmed</v>
      </c>
      <c r="H21" s="1" t="str">
        <f>VLOOKUP(B21,Customer_Data!A:E,3,FALSE)</f>
        <v>Lahore</v>
      </c>
      <c r="I21" s="1" t="str">
        <f>VLOOKUP(B21,Customer_Data!A:E,5,FALSE)</f>
        <v>Standard</v>
      </c>
      <c r="K21" s="3" t="s">
        <v>13</v>
      </c>
      <c r="L21" s="1">
        <v>120</v>
      </c>
      <c r="M21" s="1">
        <v>601.23</v>
      </c>
      <c r="N21" s="1">
        <v>721.23</v>
      </c>
      <c r="P21" s="1" t="s">
        <v>108</v>
      </c>
      <c r="Q21" s="1">
        <f>MAX(Table1[Sale_Amount])</f>
        <v>2500</v>
      </c>
      <c r="S21" s="10" t="s">
        <v>123</v>
      </c>
    </row>
    <row r="22" spans="1:22" ht="30.75" x14ac:dyDescent="0.85">
      <c r="A22" s="1" t="s">
        <v>54</v>
      </c>
      <c r="B22" s="1" t="s">
        <v>17</v>
      </c>
      <c r="C22" s="1" t="s">
        <v>8</v>
      </c>
      <c r="D22" s="1">
        <v>1200</v>
      </c>
      <c r="E22" s="1" t="s">
        <v>55</v>
      </c>
      <c r="F22" s="1" t="s">
        <v>15</v>
      </c>
      <c r="G22" s="1" t="str">
        <f>VLOOKUP(B22,Customer_Data!A:E,2,FALSE)</f>
        <v>Hassan Ali</v>
      </c>
      <c r="H22" s="1" t="str">
        <f>VLOOKUP(B22,Customer_Data!A:E,3,FALSE)</f>
        <v>Islamabad</v>
      </c>
      <c r="I22" s="1" t="str">
        <f>VLOOKUP(B22,Customer_Data!A:E,5,FALSE)</f>
        <v>Premium</v>
      </c>
      <c r="K22" s="3" t="s">
        <v>8</v>
      </c>
      <c r="L22" s="1">
        <v>5500.5</v>
      </c>
      <c r="M22" s="1">
        <v>5799.24</v>
      </c>
      <c r="N22" s="1">
        <v>11299.74</v>
      </c>
      <c r="P22" s="1" t="s">
        <v>109</v>
      </c>
      <c r="Q22" s="1">
        <f>MIN(Table1[Sale_Amount])</f>
        <v>34.5</v>
      </c>
      <c r="S22" s="10" t="s">
        <v>124</v>
      </c>
      <c r="V22" s="3"/>
    </row>
    <row r="23" spans="1:22" ht="30.75" x14ac:dyDescent="0.85">
      <c r="A23" s="1" t="s">
        <v>6</v>
      </c>
      <c r="B23" s="1" t="s">
        <v>7</v>
      </c>
      <c r="C23" s="1" t="s">
        <v>8</v>
      </c>
      <c r="D23" s="1">
        <v>1250.5</v>
      </c>
      <c r="E23" s="1" t="s">
        <v>9</v>
      </c>
      <c r="F23" s="1" t="s">
        <v>10</v>
      </c>
      <c r="G23" s="1" t="str">
        <f>VLOOKUP(B23,Customer_Data!A:E,2,FALSE)</f>
        <v>Ali Khan</v>
      </c>
      <c r="H23" s="1" t="str">
        <f>VLOOKUP(B23,Customer_Data!A:E,3,FALSE)</f>
        <v>Karachi</v>
      </c>
      <c r="I23" s="1" t="str">
        <f>VLOOKUP(B23,Customer_Data!A:E,5,FALSE)</f>
        <v>Premium</v>
      </c>
      <c r="K23" s="3" t="s">
        <v>18</v>
      </c>
      <c r="L23" s="1">
        <v>1200.25</v>
      </c>
      <c r="M23" s="1">
        <v>1870</v>
      </c>
      <c r="N23" s="1">
        <v>3070.25</v>
      </c>
      <c r="P23" s="1" t="s">
        <v>110</v>
      </c>
      <c r="Q23" s="1" cm="1">
        <f t="array" ref="Q23">SUMPRODUCT(1/COUNTIF(B2:B26,B2:B26))</f>
        <v>11</v>
      </c>
      <c r="S23" s="10" t="s">
        <v>125</v>
      </c>
      <c r="V23" s="3"/>
    </row>
    <row r="24" spans="1:22" x14ac:dyDescent="0.6">
      <c r="A24" s="1" t="s">
        <v>39</v>
      </c>
      <c r="B24" s="1" t="s">
        <v>40</v>
      </c>
      <c r="C24" s="1" t="s">
        <v>8</v>
      </c>
      <c r="D24" s="1">
        <v>1899</v>
      </c>
      <c r="E24" s="1" t="s">
        <v>41</v>
      </c>
      <c r="F24" s="1" t="s">
        <v>20</v>
      </c>
      <c r="G24" s="1" t="str">
        <f>VLOOKUP(B24,Customer_Data!A:E,2,FALSE)</f>
        <v>Muhammad Aziz</v>
      </c>
      <c r="H24" s="1" t="str">
        <f>VLOOKUP(B24,Customer_Data!A:E,3,FALSE)</f>
        <v>Karachi</v>
      </c>
      <c r="I24" s="1" t="str">
        <f>VLOOKUP(B24,Customer_Data!A:E,5,FALSE)</f>
        <v>Standard</v>
      </c>
      <c r="K24" s="3" t="s">
        <v>113</v>
      </c>
      <c r="L24" s="1">
        <v>6978.99</v>
      </c>
      <c r="M24" s="1">
        <v>8350.2199999999993</v>
      </c>
      <c r="N24" s="1">
        <v>15329.21</v>
      </c>
      <c r="P24" s="1" t="s">
        <v>111</v>
      </c>
      <c r="Q24" s="1" cm="1">
        <f t="array" ref="Q24">SUMPRODUCT(1/COUNTIF(B2:B26,B2:B26))</f>
        <v>11</v>
      </c>
    </row>
    <row r="25" spans="1:22" x14ac:dyDescent="0.6">
      <c r="A25" s="1" t="s">
        <v>21</v>
      </c>
      <c r="B25" s="1" t="s">
        <v>22</v>
      </c>
      <c r="C25" s="1" t="s">
        <v>8</v>
      </c>
      <c r="D25" s="1">
        <v>2100.75</v>
      </c>
      <c r="E25" s="1" t="s">
        <v>23</v>
      </c>
      <c r="F25" s="1" t="s">
        <v>10</v>
      </c>
      <c r="G25" s="1" t="str">
        <f>VLOOKUP(B25,Customer_Data!A:E,2,FALSE)</f>
        <v>Fatima Malik</v>
      </c>
      <c r="H25" s="1" t="str">
        <f>VLOOKUP(B25,Customer_Data!A:E,3,FALSE)</f>
        <v>Karachi</v>
      </c>
      <c r="I25" s="1" t="str">
        <f>VLOOKUP(B25,Customer_Data!A:E,5,FALSE)</f>
        <v>Standard</v>
      </c>
    </row>
    <row r="26" spans="1:22" x14ac:dyDescent="0.6">
      <c r="A26" s="1" t="s">
        <v>63</v>
      </c>
      <c r="B26" s="1" t="s">
        <v>64</v>
      </c>
      <c r="C26" s="1" t="s">
        <v>8</v>
      </c>
      <c r="D26" s="1">
        <v>2500</v>
      </c>
      <c r="E26" s="1" t="s">
        <v>65</v>
      </c>
      <c r="F26" s="1" t="s">
        <v>15</v>
      </c>
      <c r="G26" s="1" t="str">
        <f>VLOOKUP(B26,Customer_Data!A:E,2,FALSE)</f>
        <v>Rashid Ali</v>
      </c>
      <c r="H26" s="1" t="str">
        <f>VLOOKUP(B26,Customer_Data!A:E,3,FALSE)</f>
        <v>Islamabad</v>
      </c>
      <c r="I26" s="1" t="str">
        <f>VLOOKUP(B26,Customer_Data!A:E,5,FALSE)</f>
        <v>Premium</v>
      </c>
    </row>
    <row r="29" spans="1:22" ht="34.5" x14ac:dyDescent="0.95">
      <c r="D29" s="4" t="s">
        <v>115</v>
      </c>
      <c r="E29" s="5"/>
      <c r="F29" s="5"/>
    </row>
    <row r="30" spans="1:22" x14ac:dyDescent="0.6">
      <c r="D30" s="6"/>
      <c r="E30" s="6"/>
      <c r="F30" s="6"/>
    </row>
    <row r="31" spans="1:22" ht="23.25" x14ac:dyDescent="0.65">
      <c r="D31" s="7" t="s">
        <v>116</v>
      </c>
      <c r="E31" s="7">
        <f>COUNTBLANK(Table1[])</f>
        <v>0</v>
      </c>
      <c r="F31" s="7" t="str" cm="1">
        <f t="array" ref="F31">IF(E31 = 0, "Data Complete", Found Missing Values)</f>
        <v>Data Complete</v>
      </c>
    </row>
    <row r="32" spans="1:22" ht="23.25" x14ac:dyDescent="0.65">
      <c r="D32" s="8" t="s">
        <v>117</v>
      </c>
      <c r="E32" s="8"/>
      <c r="F32" s="7" t="str" cm="1">
        <f t="array" ref="F32">IF(COUNTA(Table1[Transaction_ID])=SUMPRODUCT(1/COUNTIF(A2:A26,A2:A26)),"No Duplicates Found","Duplicates Found")</f>
        <v>No Duplicates Found</v>
      </c>
    </row>
    <row r="33" spans="4:6" ht="23.25" x14ac:dyDescent="0.65">
      <c r="D33" s="7" t="s">
        <v>118</v>
      </c>
      <c r="E33" s="7" t="str">
        <f>INDEX(A2:A26, MATCH(MAX(D2:D26), D2:D26, 0))</f>
        <v>TXN021</v>
      </c>
      <c r="F33" s="7">
        <f>MAX(Table1[Sale_Amount])</f>
        <v>2500</v>
      </c>
    </row>
    <row r="34" spans="4:6" ht="23.25" x14ac:dyDescent="0.65">
      <c r="D34" s="7" t="s">
        <v>119</v>
      </c>
      <c r="E34" s="7" t="str">
        <f>INDEX(A3:A27, MATCH(MIN(D3:D27), D3:D27, 0))</f>
        <v>TXN022</v>
      </c>
      <c r="F34" s="7">
        <f>MIN(Table1[Sale_Amount])</f>
        <v>34.5</v>
      </c>
    </row>
    <row r="35" spans="4:6" ht="23.25" x14ac:dyDescent="0.65">
      <c r="D35" s="8" t="s">
        <v>120</v>
      </c>
      <c r="E35" s="8"/>
      <c r="F35" s="7" t="str">
        <f>IF(AND(E31=0, F32), "Ready for analysis", "Issues found - Review above")</f>
        <v>Ready for analysis</v>
      </c>
    </row>
    <row r="46" spans="4:6" ht="21.75" customHeight="1" x14ac:dyDescent="0.6"/>
    <row r="47" spans="4:6" ht="23.25" customHeight="1" x14ac:dyDescent="0.6"/>
    <row r="48" spans="4:6" ht="21.75" customHeight="1" x14ac:dyDescent="0.6"/>
    <row r="49" s="1" customFormat="1" ht="21.75" customHeight="1" x14ac:dyDescent="0.6"/>
    <row r="50" s="1" customFormat="1" ht="21.75" customHeight="1" x14ac:dyDescent="0.6"/>
    <row r="51" s="1" customFormat="1" ht="21.75" customHeight="1" x14ac:dyDescent="0.6"/>
    <row r="52" s="1" customFormat="1" ht="21.75" customHeight="1" x14ac:dyDescent="0.6"/>
  </sheetData>
  <mergeCells count="4">
    <mergeCell ref="D32:E32"/>
    <mergeCell ref="D35:E35"/>
    <mergeCell ref="P18:Q18"/>
    <mergeCell ref="D29:F29"/>
  </mergeCells>
  <pageMargins left="0.75" right="0.75" top="1" bottom="1" header="0.5" footer="0.5"/>
  <pageSetup orientation="portrait" r:id="rId2"/>
  <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Customer_Data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BAZIL MERAJ</cp:lastModifiedBy>
  <dcterms:created xsi:type="dcterms:W3CDTF">2026-03-13T08:04:45Z</dcterms:created>
  <dcterms:modified xsi:type="dcterms:W3CDTF">2026-03-13T10:26:22Z</dcterms:modified>
</cp:coreProperties>
</file>